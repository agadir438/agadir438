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" sheetId="1" state="visible" r:id="rId3"/>
    <sheet name="Planning Macro" sheetId="2" state="visible" r:id="rId4"/>
    <sheet name="Planning Micro" sheetId="3" state="visible" r:id="rId5"/>
    <sheet name="Risques" sheetId="4" state="visible" r:id="rId6"/>
    <sheet name="Suivi Dynatra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<sst xmlns="http://schemas.openxmlformats.org/spreadsheetml/2006/main" count="350" uniqueCount="172">
  <si>
    <t xml:space="preserve">Migration des logs de sécurité : Splunk → Google Chronicle &amp; Dynatrace</t>
  </si>
  <si>
    <t xml:space="preserve">Planning macro &amp; micro — architecture CloudWatch (Linux/Windows) + rsyslog/Forwarder (AIX) + Dynatrace OneAgent</t>
  </si>
  <si>
    <t xml:space="preserve">Date du document :</t>
  </si>
  <si>
    <t xml:space="preserve">Décommissionnement Splunk visé :</t>
  </si>
  <si>
    <t xml:space="preserve">Checkpoint Dynatrace (résultat dashboards David) :</t>
  </si>
  <si>
    <t xml:space="preserve">Contexte : remplacement de Splunk par Google Chronicle pour les logs de sécurité et par Dynatrace pour les dashboards/observabilité, sur un délai cible de 2 mois. Deux chaînes de collecte alimentent Chronicle : un flux AWS natif (CloudWatch Agent → CloudWatch Log Groups → Chronicle Native Feed via un rôle IAM assumé — AssumeRole) pour Linux/Windows, et un flux legacy (rsyslog port 514 → Chronicle Forwarder, VM Linux dédiée → API Chronicle en HTTPS) pour AIX. Une tentative d'installation directe du binaire Forwarder sur AIX a échoué (version AIX incompatible) : décision prise de n'installer aucun agent sur AIX et de ne s'appuyer que sur le relais syslog natif. En parallèle, David (Dynatrace) migre les dashboards Splunk vers Dynatrace ; le résultat est attendu le 18/09 et conditionne la généralisation du déploiement OneAgent pour les logs applicatifs/infra.</t>
  </si>
  <si>
    <t xml:space="preserve">Architecture cible (vue d'ensemble)</t>
  </si>
  <si>
    <t xml:space="preserve">Planning macro (vue d'ensemble)</t>
  </si>
  <si>
    <t xml:space="preserve">Planning macro — 15 septembre au 13 novembre 2026 (9 semaines)</t>
  </si>
  <si>
    <t xml:space="preserve">ID</t>
  </si>
  <si>
    <t xml:space="preserve">Chantier</t>
  </si>
  <si>
    <t xml:space="preserve">Phase</t>
  </si>
  <si>
    <t xml:space="preserve">Début</t>
  </si>
  <si>
    <t xml:space="preserve">Fin</t>
  </si>
  <si>
    <t xml:space="preserve">Durée (j)</t>
  </si>
  <si>
    <t xml:space="preserve">Statut</t>
  </si>
  <si>
    <t xml:space="preserve">Gouvernance</t>
  </si>
  <si>
    <t xml:space="preserve">Cadrage &amp; validation architecture</t>
  </si>
  <si>
    <t xml:space="preserve">En cours</t>
  </si>
  <si>
    <t xml:space="preserve">AWS</t>
  </si>
  <si>
    <t xml:space="preserve">Pilote CloudWatch Linux/Windows</t>
  </si>
  <si>
    <t xml:space="preserve">À faire</t>
  </si>
  <si>
    <t xml:space="preserve">AIX</t>
  </si>
  <si>
    <t xml:space="preserve">Pivot &amp; pilote rsyslog → Forwarder AIX (urgent)</t>
  </si>
  <si>
    <t xml:space="preserve">Urgent</t>
  </si>
  <si>
    <t xml:space="preserve">Généralisation CloudWatch + Chronicle Native Feed</t>
  </si>
  <si>
    <t xml:space="preserve">Généralisation rsyslog AIX → Forwarder</t>
  </si>
  <si>
    <t xml:space="preserve">Dynatrace</t>
  </si>
  <si>
    <t xml:space="preserve">Migration logs/dashboards → Dynatrace (OneAgent)</t>
  </si>
  <si>
    <t xml:space="preserve">En attente checkpoint 18/09</t>
  </si>
  <si>
    <t xml:space="preserve">Validation</t>
  </si>
  <si>
    <t xml:space="preserve">Double run &amp; validation de parité (Chronicle + Dynatrace)</t>
  </si>
  <si>
    <t xml:space="preserve">Bascule finale &amp; arrêt progressif Splunk</t>
  </si>
  <si>
    <t xml:space="preserve">Décommissionnement complet Splunk (J+60)</t>
  </si>
  <si>
    <t xml:space="preserve">Jalon</t>
  </si>
  <si>
    <t xml:space="preserve">Légende chantiers :</t>
  </si>
  <si>
    <t xml:space="preserve">Planning micro — détail des tâches par chantier</t>
  </si>
  <si>
    <t xml:space="preserve">Tâche</t>
  </si>
  <si>
    <t xml:space="preserve">Owner</t>
  </si>
  <si>
    <t xml:space="preserve">Dépendances</t>
  </si>
  <si>
    <t xml:space="preserve">Commentaire</t>
  </si>
  <si>
    <t xml:space="preserve">1.1</t>
  </si>
  <si>
    <t xml:space="preserve">Inventaire des sources Linux/Windows actuellement indexées dans Splunk</t>
  </si>
  <si>
    <t xml:space="preserve">Équipe Cloud/AWS</t>
  </si>
  <si>
    <t xml:space="preserve">-</t>
  </si>
  <si>
    <t xml:space="preserve">1.2</t>
  </si>
  <si>
    <t xml:space="preserve">Création du rôle IAM + politique de confiance pour Chronicle Native Feed (AssumeRole)</t>
  </si>
  <si>
    <t xml:space="preserve">1.3</t>
  </si>
  <si>
    <t xml:space="preserve">Mise en place des CloudWatch Log Groups (KMS, rétention)</t>
  </si>
  <si>
    <t xml:space="preserve">2.1</t>
  </si>
  <si>
    <t xml:space="preserve">Déploiement CloudWatch Agent sur périmètre pilote (10-20 serveurs)</t>
  </si>
  <si>
    <t xml:space="preserve">2.2</t>
  </si>
  <si>
    <t xml:space="preserve">Configuration du Chronicle Native Feed (type Amazon CloudWatch, AssumeRole)</t>
  </si>
  <si>
    <t xml:space="preserve">Équipe Sécurité/SIEM</t>
  </si>
  <si>
    <t xml:space="preserve">2.3</t>
  </si>
  <si>
    <t xml:space="preserve">Validation de la complétude des logs reçus (Chronicle vs Splunk)</t>
  </si>
  <si>
    <t xml:space="preserve">2.1;2.2</t>
  </si>
  <si>
    <t xml:space="preserve">3.0</t>
  </si>
  <si>
    <t xml:space="preserve">Analyse post-mortem : échec du binaire Forwarder sur AIX</t>
  </si>
  <si>
    <t xml:space="preserve">Équipe AIX/Unix</t>
  </si>
  <si>
    <t xml:space="preserve">Fait</t>
  </si>
  <si>
    <t xml:space="preserve">Cause : version AIX incompatible avec le binaire Linux du Forwarder</t>
  </si>
  <si>
    <t xml:space="preserve">3.1</t>
  </si>
  <si>
    <t xml:space="preserve">Déploiement de 2 VM Linux dédiées « Chronicle Forwarder » (HA)</t>
  </si>
  <si>
    <t xml:space="preserve">3.2</t>
  </si>
  <si>
    <t xml:space="preserve">Configuration syslogd sur 5-10 serveurs AIX pilotes (port 514)</t>
  </si>
  <si>
    <t xml:space="preserve">3.3</t>
  </si>
  <si>
    <t xml:space="preserve">Configuration du Forwarder (parsing + envoi HTTPS vers Chronicle)</t>
  </si>
  <si>
    <t xml:space="preserve">3.4</t>
  </si>
  <si>
    <t xml:space="preserve">Test de bascule HA du Forwarder + validation réception Chronicle</t>
  </si>
  <si>
    <t xml:space="preserve">3.2;3.3</t>
  </si>
  <si>
    <t xml:space="preserve">3.5</t>
  </si>
  <si>
    <t xml:space="preserve">Validation de la préservation de l'horodatage d'origine AIX</t>
  </si>
  <si>
    <t xml:space="preserve">Point de non-répudiation critique pour l'investigation</t>
  </si>
  <si>
    <t xml:space="preserve">4.1</t>
  </si>
  <si>
    <t xml:space="preserve">Déploiement CloudWatch Agent à l'échelle (SSM/GPO/SCCM)</t>
  </si>
  <si>
    <t xml:space="preserve">4.2</t>
  </si>
  <si>
    <t xml:space="preserve">Élargissement du Chronicle Native Feed à tous les Log Groups</t>
  </si>
  <si>
    <t xml:space="preserve">4.3</t>
  </si>
  <si>
    <t xml:space="preserve">Mise en place des alarmes de supervision (agents hors ligne, feed en échec)</t>
  </si>
  <si>
    <t xml:space="preserve">5.1</t>
  </si>
  <si>
    <t xml:space="preserve">Bascule progressive de l'ensemble du parc AIX vers le Forwarder</t>
  </si>
  <si>
    <t xml:space="preserve">5.2</t>
  </si>
  <si>
    <t xml:space="preserve">Supervision du volume reçu par hôte AIX (détection sources mal configurées)</t>
  </si>
  <si>
    <t xml:space="preserve">6.0</t>
  </si>
  <si>
    <t xml:space="preserve">Réception et revue du résultat de migration des dashboards</t>
  </si>
  <si>
    <t xml:space="preserve">David (Dynatrace)</t>
  </si>
  <si>
    <t xml:space="preserve">Livrable attendu en fin de semaine</t>
  </si>
  <si>
    <t xml:space="preserve">6.1</t>
  </si>
  <si>
    <t xml:space="preserve">Décision Go/No-Go sur la généralisation du périmètre Dynatrace</t>
  </si>
  <si>
    <t xml:space="preserve">Chef de projet migration</t>
  </si>
  <si>
    <t xml:space="preserve">Point de décision formel</t>
  </si>
  <si>
    <t xml:space="preserve">6.2</t>
  </si>
  <si>
    <t xml:space="preserve">Installation OneAgent sur périmètre pilote (logs applicatifs/infra)</t>
  </si>
  <si>
    <t xml:space="preserve">6.3</t>
  </si>
  <si>
    <t xml:space="preserve">Recréation des dashboards Splunk restants dans Dynatrace</t>
  </si>
  <si>
    <t xml:space="preserve">6.4</t>
  </si>
  <si>
    <t xml:space="preserve">Comparaison des dashboards Dynatrace vs Splunk (parité fonctionnelle)</t>
  </si>
  <si>
    <t xml:space="preserve">6.5</t>
  </si>
  <si>
    <t xml:space="preserve">Déploiement OneAgent à l'échelle du parc restant</t>
  </si>
  <si>
    <t xml:space="preserve">7.1</t>
  </si>
  <si>
    <t xml:space="preserve">Définir les scénarios de détection critiques à comparer</t>
  </si>
  <si>
    <t xml:space="preserve">4.2;5.1</t>
  </si>
  <si>
    <t xml:space="preserve">7.2</t>
  </si>
  <si>
    <t xml:space="preserve">Exécuter le double run (Chronicle + Splunk en parallèle)</t>
  </si>
  <si>
    <t xml:space="preserve">7.3</t>
  </si>
  <si>
    <t xml:space="preserve">Consolider les écarts de détection et corriger les règles Chronicle</t>
  </si>
  <si>
    <t xml:space="preserve">7.4</t>
  </si>
  <si>
    <t xml:space="preserve">Valider la parité des dashboards Dynatrace en conditions réelles</t>
  </si>
  <si>
    <t xml:space="preserve">7.5</t>
  </si>
  <si>
    <t xml:space="preserve">Décision Go/No-Go décommissionnement Splunk</t>
  </si>
  <si>
    <t xml:space="preserve">Comité de pilotage</t>
  </si>
  <si>
    <t xml:space="preserve">7.3;7.4</t>
  </si>
  <si>
    <t xml:space="preserve">Jalon de décision</t>
  </si>
  <si>
    <t xml:space="preserve">8.1</t>
  </si>
  <si>
    <t xml:space="preserve">Communication de la date d'arrêt à toutes les parties prenantes</t>
  </si>
  <si>
    <t xml:space="preserve">8.2</t>
  </si>
  <si>
    <t xml:space="preserve">Arrêt des forwarders Splunk (Linux/Windows/AIX)</t>
  </si>
  <si>
    <t xml:space="preserve">Équipe Cloud/AWS + AIX/Unix</t>
  </si>
  <si>
    <t xml:space="preserve">8.3</t>
  </si>
  <si>
    <t xml:space="preserve">Bascule finale des dashboards restants vers Dynatrace</t>
  </si>
  <si>
    <t xml:space="preserve">9.1</t>
  </si>
  <si>
    <t xml:space="preserve">Arrêt des indexers Splunk</t>
  </si>
  <si>
    <t xml:space="preserve">8.2;8.3</t>
  </si>
  <si>
    <t xml:space="preserve">9.2</t>
  </si>
  <si>
    <t xml:space="preserve">Décommissionnement des licences et de l'infrastructure Splunk</t>
  </si>
  <si>
    <t xml:space="preserve">9.3</t>
  </si>
  <si>
    <t xml:space="preserve">Bilan de migration et clôture de projet</t>
  </si>
  <si>
    <t xml:space="preserve">Jalon final</t>
  </si>
  <si>
    <t xml:space="preserve">Registre des risques &amp; points d'attention</t>
  </si>
  <si>
    <t xml:space="preserve">Risque</t>
  </si>
  <si>
    <t xml:space="preserve">Impact</t>
  </si>
  <si>
    <t xml:space="preserve">Mitigation / Décision</t>
  </si>
  <si>
    <t xml:space="preserve">R1</t>
  </si>
  <si>
    <t xml:space="preserve">Incompatibilité du binaire Chronicle Forwarder avec la version AIX en place</t>
  </si>
  <si>
    <t xml:space="preserve">Élevé</t>
  </si>
  <si>
    <t xml:space="preserve">Réalisé — traité</t>
  </si>
  <si>
    <t xml:space="preserve">Décision : aucun agent installé sur AIX ; relais syslog natif exclusivement vers une VM Forwarder Linux dédiée</t>
  </si>
  <si>
    <t xml:space="preserve">R2</t>
  </si>
  <si>
    <t xml:space="preserve">Dépendance à la validation des dashboards Dynatrace (résultat attendu le 18/09)</t>
  </si>
  <si>
    <t xml:space="preserve">Moyen</t>
  </si>
  <si>
    <t xml:space="preserve">Point de décision Go/No-Go formalisé au 18-19/09 avant toute généralisation OneAgent</t>
  </si>
  <si>
    <t xml:space="preserve">R3</t>
  </si>
  <si>
    <t xml:space="preserve">Fraîcheur des données via le Chronicle Native Feed (modèle pull périodique, non temps réel)</t>
  </si>
  <si>
    <t xml:space="preserve">À surveiller</t>
  </si>
  <si>
    <t xml:space="preserve">Dimensionner la fréquence de pull avec Chronicle et surveiller le délai d'ingestion (lag)</t>
  </si>
  <si>
    <t xml:space="preserve">R4</t>
  </si>
  <si>
    <t xml:space="preserve">Point de défaillance unique sur le relais / Forwarder AIX (chemin non redondant nativement)</t>
  </si>
  <si>
    <t xml:space="preserve">Mitigé</t>
  </si>
  <si>
    <t xml:space="preserve">Déploiement en haute disponibilité (2 VM), file d'attente sur disque, tests de bascule réguliers</t>
  </si>
  <si>
    <t xml:space="preserve">R5</t>
  </si>
  <si>
    <t xml:space="preserve">Délai de 2 mois jugé serré au vu du nombre de chantiers menés en parallèle</t>
  </si>
  <si>
    <t xml:space="preserve">Suivi hebdomadaire en comité de pilotage, arbitrage rapide en cas de dérive de planning</t>
  </si>
  <si>
    <t xml:space="preserve">R6</t>
  </si>
  <si>
    <t xml:space="preserve">Perte de couverture de détection pendant la fenêtre de bascule Splunk → Chronicle</t>
  </si>
  <si>
    <t xml:space="preserve">Sécurité</t>
  </si>
  <si>
    <t xml:space="preserve">À traiter</t>
  </si>
  <si>
    <t xml:space="preserve">Double run obligatoire et décision Go/No-Go formelle avant toute désactivation Splunk (tâche 7.5)</t>
  </si>
  <si>
    <t xml:space="preserve">R7</t>
  </si>
  <si>
    <t xml:space="preserve">Non-répudiation des horodatages AIX (heure du relais vs heure de la source)</t>
  </si>
  <si>
    <t xml:space="preserve">À valider</t>
  </si>
  <si>
    <t xml:space="preserve">Test explicite en recette de la préservation de l'horodatage d'origine (tâche 3.5)</t>
  </si>
  <si>
    <t xml:space="preserve">Suivi dédié — migration Dynatrace (dashboards &amp; logs via OneAgent)</t>
  </si>
  <si>
    <t xml:space="preserve">Échéance</t>
  </si>
  <si>
    <t xml:space="preserve">Notes</t>
  </si>
  <si>
    <t xml:space="preserve">Migration des dashboards Splunk vers Dynatrace</t>
  </si>
  <si>
    <t xml:space="preserve">Résultat attendu en fin de semaine pour la décision Go/No-Go du 18-19/09</t>
  </si>
  <si>
    <t xml:space="preserve">Déploiement OneAgent — périmètre pilote (logs applicatifs/infra)</t>
  </si>
  <si>
    <t xml:space="preserve">Démarre uniquement après le Go du 18-19/09</t>
  </si>
  <si>
    <t xml:space="preserve">Comparaison des dashboards Dynatrace vs Splunk (parité)</t>
  </si>
  <si>
    <t xml:space="preserve">Généralisation OneAgent à l'échelle du parc restant</t>
  </si>
  <si>
    <t xml:space="preserve">Bascule finale des dashboards restants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</si>
</sst>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172A"/>
      <name val="Arial"/>
      <family val="0"/>
      <charset val="1"/>
    </font>
    <font>
      <i val="true"/>
      <sz val="11.5"/>
      <color rgb="FF47556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b val="true"/>
      <sz val="10"/>
      <color rgb="FF5B21B6"/>
      <name val="Arial"/>
      <family val="0"/>
      <charset val="1"/>
    </font>
    <font>
      <sz val="10.5"/>
      <color rgb="FF000000"/>
      <name val="Arial"/>
      <family val="0"/>
      <charset val="1"/>
    </font>
    <font>
      <b val="true"/>
      <sz val="12.5"/>
      <color rgb="FF0B4A75"/>
      <name val="Arial"/>
      <family val="0"/>
      <charset val="1"/>
    </font>
    <font>
      <b val="true"/>
      <sz val="13"/>
      <color rgb="FF0F172A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4A75"/>
        <bgColor rgb="FF475569"/>
      </patternFill>
    </fill>
    <fill>
      <patternFill patternType="solid">
        <fgColor rgb="FF64748B"/>
        <bgColor rgb="FF808080"/>
      </patternFill>
    </fill>
    <fill>
      <patternFill patternType="solid">
        <fgColor rgb="FFC2760A"/>
        <bgColor rgb="FFB45309"/>
      </patternFill>
    </fill>
    <fill>
      <patternFill patternType="solid">
        <fgColor rgb="FFB45309"/>
        <bgColor rgb="FFC2760A"/>
      </patternFill>
    </fill>
    <fill>
      <patternFill patternType="solid">
        <fgColor rgb="FF7C3AED"/>
        <bgColor rgb="FF5B21B6"/>
      </patternFill>
    </fill>
    <fill>
      <patternFill patternType="solid">
        <fgColor rgb="FF146EB4"/>
        <bgColor rgb="FF008080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64748B"/>
        </patternFill>
      </fill>
    </dxf>
    <dxf>
      <fill>
        <patternFill>
          <bgColor rgb="FFC2760A"/>
        </patternFill>
      </fill>
    </dxf>
    <dxf>
      <fill>
        <patternFill>
          <bgColor rgb="FFB45309"/>
        </patternFill>
      </fill>
    </dxf>
    <dxf>
      <fill>
        <patternFill>
          <bgColor rgb="FF7C3AED"/>
        </patternFill>
      </fill>
    </dxf>
    <dxf>
      <fill>
        <patternFill>
          <bgColor rgb="FF146E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EF3C7"/>
      <rgbColor rgb="FFCCFFFF"/>
      <rgbColor rgb="FF660066"/>
      <rgbColor rgb="FFFF8080"/>
      <rgbColor rgb="FF146EB4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C2760A"/>
      <rgbColor rgb="FF64748B"/>
      <rgbColor rgb="FF969696"/>
      <rgbColor rgb="FF0B4A75"/>
      <rgbColor rgb="FF339966"/>
      <rgbColor rgb="FF0F172A"/>
      <rgbColor rgb="FF333300"/>
      <rgbColor rgb="FFB91C1C"/>
      <rgbColor rgb="FF7C3AED"/>
      <rgbColor rgb="FF5B21B6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101160</xdr:rowOff>
    </xdr:from>
    <xdr:to>
      <xdr:col>16</xdr:col>
      <xdr:colOff>399960</xdr:colOff>
      <xdr:row>122</xdr:row>
      <xdr:rowOff>100800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77840" y="2857680"/>
          <a:ext cx="13334760" cy="2057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161</xdr:row>
      <xdr:rowOff>100800</xdr:rowOff>
    </xdr:from>
    <xdr:to>
      <xdr:col>16</xdr:col>
      <xdr:colOff>399960</xdr:colOff>
      <xdr:row>231</xdr:row>
      <xdr:rowOff>100800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77840" y="30861000"/>
          <a:ext cx="13334760" cy="13334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46280</v>
      </c>
    </row>
    <row r="6" customFormat="false" ht="15" hidden="false" customHeight="false" outlineLevel="0" collapsed="false">
      <c r="B6" s="3" t="s">
        <v>3</v>
      </c>
      <c r="C6" s="5" t="n">
        <v>46339</v>
      </c>
    </row>
    <row r="7" customFormat="false" ht="15" hidden="false" customHeight="false" outlineLevel="0" collapsed="false">
      <c r="B7" s="3" t="s">
        <v>4</v>
      </c>
      <c r="C7" s="6" t="n">
        <v>46283</v>
      </c>
    </row>
    <row r="9" customFormat="false" ht="15" hidden="false" customHeight="true" outlineLevel="0" collapsed="false"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customFormat="false" ht="15" hidden="false" customHeight="false" outlineLevel="0" collapsed="false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5" hidden="false" customHeight="false" outlineLevel="0" collapsed="false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customFormat="false" ht="15" hidden="false" customHeight="false" outlineLevel="0" collapsed="false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5" hidden="false" customHeight="false" outlineLevel="0" collapsed="false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5" customFormat="false" ht="15" hidden="false" customHeight="false" outlineLevel="0" collapsed="false">
      <c r="B15" s="8" t="s">
        <v>6</v>
      </c>
    </row>
    <row r="162" customFormat="false" ht="15" hidden="false" customHeight="false" outlineLevel="0" collapsed="false">
      <c r="B162" s="8" t="s">
        <v>7</v>
      </c>
    </row>
  </sheetData>
  <mergeCells count="1">
    <mergeCell ref="B9: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16" min="8" style="0" width="9"/>
  </cols>
  <sheetData>
    <row r="1" customFormat="false" ht="16.15" hidden="false" customHeight="false" outlineLevel="0" collapsed="false">
      <c r="A1" s="9" t="s">
        <v>8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10" t="s">
        <v>9</v>
      </c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1" t="n">
        <v>46279</v>
      </c>
      <c r="I3" s="11" t="n">
        <v>46286</v>
      </c>
      <c r="J3" s="11" t="n">
        <v>46293</v>
      </c>
      <c r="K3" s="11" t="n">
        <v>46300</v>
      </c>
      <c r="L3" s="11" t="n">
        <v>46307</v>
      </c>
      <c r="M3" s="11" t="n">
        <v>46314</v>
      </c>
      <c r="N3" s="11" t="n">
        <v>46321</v>
      </c>
      <c r="O3" s="11" t="n">
        <v>46328</v>
      </c>
      <c r="P3" s="11" t="n">
        <v>46335</v>
      </c>
    </row>
    <row r="4" customFormat="false" ht="15" hidden="false" customHeight="false" outlineLevel="0" collapsed="false">
      <c r="A4" s="12" t="n">
        <v>1</v>
      </c>
      <c r="B4" s="12" t="s">
        <v>16</v>
      </c>
      <c r="C4" s="13" t="s">
        <v>17</v>
      </c>
      <c r="D4" s="14" t="n">
        <v>46280</v>
      </c>
      <c r="E4" s="14" t="n">
        <v>46283</v>
      </c>
      <c r="F4" s="12" t="n">
        <f aca="false">E4-D4+1</f>
        <v>4</v>
      </c>
      <c r="G4" s="12" t="s">
        <v>18</v>
      </c>
      <c r="H4" s="12"/>
      <c r="I4" s="12"/>
      <c r="J4" s="12"/>
      <c r="K4" s="12"/>
      <c r="L4" s="12"/>
      <c r="M4" s="12"/>
      <c r="N4" s="12"/>
      <c r="O4" s="12"/>
      <c r="P4" s="12"/>
    </row>
    <row r="5" customFormat="false" ht="15" hidden="false" customHeight="false" outlineLevel="0" collapsed="false">
      <c r="A5" s="12" t="n">
        <v>2</v>
      </c>
      <c r="B5" s="12" t="s">
        <v>19</v>
      </c>
      <c r="C5" s="13" t="s">
        <v>20</v>
      </c>
      <c r="D5" s="14" t="n">
        <v>46286</v>
      </c>
      <c r="E5" s="14" t="n">
        <v>46290</v>
      </c>
      <c r="F5" s="12" t="n">
        <f aca="false">E5-D5+1</f>
        <v>5</v>
      </c>
      <c r="G5" s="12" t="s">
        <v>21</v>
      </c>
      <c r="H5" s="12"/>
      <c r="I5" s="12"/>
      <c r="J5" s="12"/>
      <c r="K5" s="12"/>
      <c r="L5" s="12"/>
      <c r="M5" s="12"/>
      <c r="N5" s="12"/>
      <c r="O5" s="12"/>
      <c r="P5" s="12"/>
    </row>
    <row r="6" customFormat="false" ht="15" hidden="false" customHeight="false" outlineLevel="0" collapsed="false">
      <c r="A6" s="12" t="n">
        <v>3</v>
      </c>
      <c r="B6" s="12" t="s">
        <v>22</v>
      </c>
      <c r="C6" s="13" t="s">
        <v>23</v>
      </c>
      <c r="D6" s="14" t="n">
        <v>46286</v>
      </c>
      <c r="E6" s="14" t="n">
        <v>46297</v>
      </c>
      <c r="F6" s="12" t="n">
        <f aca="false">E6-D6+1</f>
        <v>12</v>
      </c>
      <c r="G6" s="12" t="s">
        <v>24</v>
      </c>
      <c r="H6" s="12"/>
      <c r="I6" s="12"/>
      <c r="J6" s="12"/>
      <c r="K6" s="12"/>
      <c r="L6" s="12"/>
      <c r="M6" s="12"/>
      <c r="N6" s="12"/>
      <c r="O6" s="12"/>
      <c r="P6" s="12"/>
    </row>
    <row r="7" customFormat="false" ht="15" hidden="false" customHeight="false" outlineLevel="0" collapsed="false">
      <c r="A7" s="12" t="n">
        <v>4</v>
      </c>
      <c r="B7" s="12" t="s">
        <v>19</v>
      </c>
      <c r="C7" s="13" t="s">
        <v>25</v>
      </c>
      <c r="D7" s="14" t="n">
        <v>46293</v>
      </c>
      <c r="E7" s="14" t="n">
        <v>46304</v>
      </c>
      <c r="F7" s="12" t="n">
        <f aca="false">E7-D7+1</f>
        <v>12</v>
      </c>
      <c r="G7" s="12" t="s">
        <v>21</v>
      </c>
      <c r="H7" s="12"/>
      <c r="I7" s="12"/>
      <c r="J7" s="12"/>
      <c r="K7" s="12"/>
      <c r="L7" s="12"/>
      <c r="M7" s="12"/>
      <c r="N7" s="12"/>
      <c r="O7" s="12"/>
      <c r="P7" s="12"/>
    </row>
    <row r="8" customFormat="false" ht="15" hidden="false" customHeight="false" outlineLevel="0" collapsed="false">
      <c r="A8" s="12" t="n">
        <v>5</v>
      </c>
      <c r="B8" s="12" t="s">
        <v>22</v>
      </c>
      <c r="C8" s="13" t="s">
        <v>26</v>
      </c>
      <c r="D8" s="14" t="n">
        <v>46300</v>
      </c>
      <c r="E8" s="14" t="n">
        <v>46311</v>
      </c>
      <c r="F8" s="12" t="n">
        <f aca="false">E8-D8+1</f>
        <v>12</v>
      </c>
      <c r="G8" s="12" t="s">
        <v>21</v>
      </c>
      <c r="H8" s="12"/>
      <c r="I8" s="12"/>
      <c r="J8" s="12"/>
      <c r="K8" s="12"/>
      <c r="L8" s="12"/>
      <c r="M8" s="12"/>
      <c r="N8" s="12"/>
      <c r="O8" s="12"/>
      <c r="P8" s="12"/>
    </row>
    <row r="9" customFormat="false" ht="15" hidden="false" customHeight="false" outlineLevel="0" collapsed="false">
      <c r="A9" s="12" t="n">
        <v>6</v>
      </c>
      <c r="B9" s="12" t="s">
        <v>27</v>
      </c>
      <c r="C9" s="13" t="s">
        <v>28</v>
      </c>
      <c r="D9" s="14" t="n">
        <v>46286</v>
      </c>
      <c r="E9" s="14" t="n">
        <v>46318</v>
      </c>
      <c r="F9" s="12" t="n">
        <f aca="false">E9-D9+1</f>
        <v>33</v>
      </c>
      <c r="G9" s="12" t="s">
        <v>29</v>
      </c>
      <c r="H9" s="12"/>
      <c r="I9" s="12"/>
      <c r="J9" s="12"/>
      <c r="K9" s="12"/>
      <c r="L9" s="12"/>
      <c r="M9" s="12"/>
      <c r="N9" s="12"/>
      <c r="O9" s="12"/>
      <c r="P9" s="12"/>
    </row>
    <row r="10" customFormat="false" ht="15" hidden="false" customHeight="false" outlineLevel="0" collapsed="false">
      <c r="A10" s="12" t="n">
        <v>7</v>
      </c>
      <c r="B10" s="12" t="s">
        <v>30</v>
      </c>
      <c r="C10" s="13" t="s">
        <v>31</v>
      </c>
      <c r="D10" s="14" t="n">
        <v>46314</v>
      </c>
      <c r="E10" s="14" t="n">
        <v>46325</v>
      </c>
      <c r="F10" s="12" t="n">
        <f aca="false">E10-D10+1</f>
        <v>12</v>
      </c>
      <c r="G10" s="12" t="s">
        <v>21</v>
      </c>
      <c r="H10" s="12"/>
      <c r="I10" s="12"/>
      <c r="J10" s="12"/>
      <c r="K10" s="12"/>
      <c r="L10" s="12"/>
      <c r="M10" s="12"/>
      <c r="N10" s="12"/>
      <c r="O10" s="12"/>
      <c r="P10" s="12"/>
    </row>
    <row r="11" customFormat="false" ht="15" hidden="false" customHeight="false" outlineLevel="0" collapsed="false">
      <c r="A11" s="12" t="n">
        <v>8</v>
      </c>
      <c r="B11" s="12" t="s">
        <v>16</v>
      </c>
      <c r="C11" s="13" t="s">
        <v>32</v>
      </c>
      <c r="D11" s="14" t="n">
        <v>46328</v>
      </c>
      <c r="E11" s="14" t="n">
        <v>46332</v>
      </c>
      <c r="F11" s="12" t="n">
        <f aca="false">E11-D11+1</f>
        <v>5</v>
      </c>
      <c r="G11" s="12" t="s">
        <v>21</v>
      </c>
      <c r="H11" s="12"/>
      <c r="I11" s="12"/>
      <c r="J11" s="12"/>
      <c r="K11" s="12"/>
      <c r="L11" s="12"/>
      <c r="M11" s="12"/>
      <c r="N11" s="12"/>
      <c r="O11" s="12"/>
      <c r="P11" s="12"/>
    </row>
    <row r="12" customFormat="false" ht="15" hidden="false" customHeight="false" outlineLevel="0" collapsed="false">
      <c r="A12" s="12" t="n">
        <v>9</v>
      </c>
      <c r="B12" s="12" t="s">
        <v>16</v>
      </c>
      <c r="C12" s="13" t="s">
        <v>33</v>
      </c>
      <c r="D12" s="14" t="n">
        <v>46335</v>
      </c>
      <c r="E12" s="14" t="n">
        <v>46339</v>
      </c>
      <c r="F12" s="12" t="n">
        <f aca="false">E12-D12+1</f>
        <v>5</v>
      </c>
      <c r="G12" s="12" t="s">
        <v>34</v>
      </c>
      <c r="H12" s="12"/>
      <c r="I12" s="12"/>
      <c r="J12" s="12"/>
      <c r="K12" s="12"/>
      <c r="L12" s="12"/>
      <c r="M12" s="12"/>
      <c r="N12" s="12"/>
      <c r="O12" s="12"/>
      <c r="P12" s="12"/>
    </row>
    <row r="15" customFormat="false" ht="15" hidden="false" customHeight="false" outlineLevel="0" collapsed="false">
      <c r="A15" s="3" t="s">
        <v>35</v>
      </c>
      <c r="B15" s="15" t="s">
        <v>16</v>
      </c>
      <c r="C15" s="16" t="s">
        <v>19</v>
      </c>
      <c r="D15" s="17" t="s">
        <v>22</v>
      </c>
      <c r="E15" s="18" t="s">
        <v>27</v>
      </c>
      <c r="F15" s="19" t="s">
        <v>30</v>
      </c>
    </row>
  </sheetData>
  <mergeCells count="1">
    <mergeCell ref="A1:F1"/>
  </mergeCells>
  <conditionalFormatting sqref="H4:P4">
    <cfRule type="expression" priority="2" aboveAverage="0" equalAverage="0" bottom="0" percent="0" rank="0" text="" dxfId="0">
      <formula>AND(H$3&gt;=$D4,H$3&lt;=$E4)</formula>
    </cfRule>
  </conditionalFormatting>
  <conditionalFormatting sqref="H5:P5">
    <cfRule type="expression" priority="3" aboveAverage="0" equalAverage="0" bottom="0" percent="0" rank="0" text="" dxfId="1">
      <formula>AND(H$3&gt;=$D5,H$3&lt;=$E5)</formula>
    </cfRule>
  </conditionalFormatting>
  <conditionalFormatting sqref="H6:P6">
    <cfRule type="expression" priority="4" aboveAverage="0" equalAverage="0" bottom="0" percent="0" rank="0" text="" dxfId="2">
      <formula>AND(H$3&gt;=$D6,H$3&lt;=$E6)</formula>
    </cfRule>
  </conditionalFormatting>
  <conditionalFormatting sqref="H7:P7">
    <cfRule type="expression" priority="5" aboveAverage="0" equalAverage="0" bottom="0" percent="0" rank="0" text="" dxfId="1">
      <formula>AND(H$3&gt;=$D7,H$3&lt;=$E7)</formula>
    </cfRule>
  </conditionalFormatting>
  <conditionalFormatting sqref="H8:P8">
    <cfRule type="expression" priority="6" aboveAverage="0" equalAverage="0" bottom="0" percent="0" rank="0" text="" dxfId="2">
      <formula>AND(H$3&gt;=$D8,H$3&lt;=$E8)</formula>
    </cfRule>
  </conditionalFormatting>
  <conditionalFormatting sqref="H9:P9">
    <cfRule type="expression" priority="7" aboveAverage="0" equalAverage="0" bottom="0" percent="0" rank="0" text="" dxfId="3">
      <formula>AND(H$3&gt;=$D9,H$3&lt;=$E9)</formula>
    </cfRule>
  </conditionalFormatting>
  <conditionalFormatting sqref="H10:P10">
    <cfRule type="expression" priority="8" aboveAverage="0" equalAverage="0" bottom="0" percent="0" rank="0" text="" dxfId="4">
      <formula>AND(H$3&gt;=$D10,H$3&lt;=$E10)</formula>
    </cfRule>
  </conditionalFormatting>
  <conditionalFormatting sqref="H11:P11">
    <cfRule type="expression" priority="9" aboveAverage="0" equalAverage="0" bottom="0" percent="0" rank="0" text="" dxfId="0">
      <formula>AND(H$3&gt;=$D11,H$3&lt;=$E11)</formula>
    </cfRule>
  </conditionalFormatting>
  <conditionalFormatting sqref="H12:P12">
    <cfRule type="expression" priority="10" aboveAverage="0" equalAverage="0" bottom="0" percent="0" rank="0" text="" dxfId="0">
      <formula>AND(H$3&gt;=$D12,H$3&lt;=$E12)</formula>
    </cfRule>
  </conditionalFormatting>
  <dataValidations count="1">
    <dataValidation allowBlank="true" errorStyle="stop" operator="between" showDropDown="false" showErrorMessage="false" showInputMessage="false" sqref="G4:G12" type="list">
      <formula1>"À faire,En cours,Urgent,Bloqué,Fait,Jalon"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6.15" hidden="false" customHeight="false" outlineLevel="0" collapsed="false">
      <c r="A1" s="9" t="s">
        <v>36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15" hidden="false" customHeight="false" outlineLevel="0" collapsed="false">
      <c r="A3" s="10" t="s">
        <v>9</v>
      </c>
      <c r="B3" s="10" t="s">
        <v>10</v>
      </c>
      <c r="C3" s="10" t="s">
        <v>37</v>
      </c>
      <c r="D3" s="10" t="s">
        <v>38</v>
      </c>
      <c r="E3" s="10" t="s">
        <v>12</v>
      </c>
      <c r="F3" s="10" t="s">
        <v>13</v>
      </c>
      <c r="G3" s="10" t="s">
        <v>14</v>
      </c>
      <c r="H3" s="10" t="s">
        <v>39</v>
      </c>
      <c r="I3" s="10" t="s">
        <v>15</v>
      </c>
      <c r="J3" s="10" t="s">
        <v>40</v>
      </c>
    </row>
    <row r="4" customFormat="false" ht="15" hidden="false" customHeight="false" outlineLevel="0" collapsed="false">
      <c r="A4" s="12" t="s">
        <v>41</v>
      </c>
      <c r="B4" s="20" t="s">
        <v>19</v>
      </c>
      <c r="C4" s="13" t="s">
        <v>42</v>
      </c>
      <c r="D4" s="12" t="s">
        <v>43</v>
      </c>
      <c r="E4" s="14" t="n">
        <v>46280</v>
      </c>
      <c r="F4" s="14" t="n">
        <v>46281</v>
      </c>
      <c r="G4" s="12" t="n">
        <f aca="false">F4-E4+1</f>
        <v>2</v>
      </c>
      <c r="H4" s="12" t="s">
        <v>44</v>
      </c>
      <c r="I4" s="12" t="s">
        <v>21</v>
      </c>
      <c r="J4" s="13"/>
    </row>
    <row r="5" customFormat="false" ht="23.85" hidden="false" customHeight="false" outlineLevel="0" collapsed="false">
      <c r="A5" s="12" t="s">
        <v>45</v>
      </c>
      <c r="B5" s="20" t="s">
        <v>19</v>
      </c>
      <c r="C5" s="13" t="s">
        <v>46</v>
      </c>
      <c r="D5" s="12" t="s">
        <v>43</v>
      </c>
      <c r="E5" s="14" t="n">
        <v>46281</v>
      </c>
      <c r="F5" s="14" t="n">
        <v>46282</v>
      </c>
      <c r="G5" s="12" t="n">
        <f aca="false">F5-E5+1</f>
        <v>2</v>
      </c>
      <c r="H5" s="12" t="s">
        <v>41</v>
      </c>
      <c r="I5" s="12" t="s">
        <v>21</v>
      </c>
      <c r="J5" s="13"/>
    </row>
    <row r="6" customFormat="false" ht="15" hidden="false" customHeight="false" outlineLevel="0" collapsed="false">
      <c r="A6" s="12" t="s">
        <v>47</v>
      </c>
      <c r="B6" s="20" t="s">
        <v>19</v>
      </c>
      <c r="C6" s="13" t="s">
        <v>48</v>
      </c>
      <c r="D6" s="12" t="s">
        <v>43</v>
      </c>
      <c r="E6" s="14" t="n">
        <v>46282</v>
      </c>
      <c r="F6" s="14" t="n">
        <v>46283</v>
      </c>
      <c r="G6" s="12" t="n">
        <f aca="false">F6-E6+1</f>
        <v>2</v>
      </c>
      <c r="H6" s="12" t="s">
        <v>41</v>
      </c>
      <c r="I6" s="12" t="s">
        <v>21</v>
      </c>
      <c r="J6" s="13"/>
    </row>
    <row r="7" customFormat="false" ht="15" hidden="false" customHeight="false" outlineLevel="0" collapsed="false">
      <c r="A7" s="12" t="s">
        <v>49</v>
      </c>
      <c r="B7" s="20" t="s">
        <v>19</v>
      </c>
      <c r="C7" s="13" t="s">
        <v>50</v>
      </c>
      <c r="D7" s="12" t="s">
        <v>43</v>
      </c>
      <c r="E7" s="14" t="n">
        <v>46286</v>
      </c>
      <c r="F7" s="14" t="n">
        <v>46288</v>
      </c>
      <c r="G7" s="12" t="n">
        <f aca="false">F7-E7+1</f>
        <v>3</v>
      </c>
      <c r="H7" s="12" t="s">
        <v>47</v>
      </c>
      <c r="I7" s="12" t="s">
        <v>21</v>
      </c>
      <c r="J7" s="13"/>
    </row>
    <row r="8" customFormat="false" ht="23.85" hidden="false" customHeight="false" outlineLevel="0" collapsed="false">
      <c r="A8" s="12" t="s">
        <v>51</v>
      </c>
      <c r="B8" s="20" t="s">
        <v>19</v>
      </c>
      <c r="C8" s="13" t="s">
        <v>52</v>
      </c>
      <c r="D8" s="12" t="s">
        <v>53</v>
      </c>
      <c r="E8" s="14" t="n">
        <v>46287</v>
      </c>
      <c r="F8" s="14" t="n">
        <v>46288</v>
      </c>
      <c r="G8" s="12" t="n">
        <f aca="false">F8-E8+1</f>
        <v>2</v>
      </c>
      <c r="H8" s="12" t="s">
        <v>45</v>
      </c>
      <c r="I8" s="12" t="s">
        <v>21</v>
      </c>
      <c r="J8" s="13"/>
    </row>
    <row r="9" customFormat="false" ht="15" hidden="false" customHeight="false" outlineLevel="0" collapsed="false">
      <c r="A9" s="12" t="s">
        <v>54</v>
      </c>
      <c r="B9" s="20" t="s">
        <v>19</v>
      </c>
      <c r="C9" s="13" t="s">
        <v>55</v>
      </c>
      <c r="D9" s="12" t="s">
        <v>53</v>
      </c>
      <c r="E9" s="14" t="n">
        <v>46289</v>
      </c>
      <c r="F9" s="14" t="n">
        <v>46290</v>
      </c>
      <c r="G9" s="12" t="n">
        <f aca="false">F9-E9+1</f>
        <v>2</v>
      </c>
      <c r="H9" s="12" t="s">
        <v>56</v>
      </c>
      <c r="I9" s="12" t="s">
        <v>21</v>
      </c>
      <c r="J9" s="13"/>
    </row>
    <row r="10" customFormat="false" ht="23.85" hidden="false" customHeight="false" outlineLevel="0" collapsed="false">
      <c r="A10" s="12" t="s">
        <v>57</v>
      </c>
      <c r="B10" s="21" t="s">
        <v>22</v>
      </c>
      <c r="C10" s="13" t="s">
        <v>58</v>
      </c>
      <c r="D10" s="12" t="s">
        <v>59</v>
      </c>
      <c r="E10" s="14" t="n">
        <v>46280</v>
      </c>
      <c r="F10" s="14" t="n">
        <v>46281</v>
      </c>
      <c r="G10" s="12" t="n">
        <f aca="false">F10-E10+1</f>
        <v>2</v>
      </c>
      <c r="H10" s="12" t="s">
        <v>44</v>
      </c>
      <c r="I10" s="12" t="s">
        <v>60</v>
      </c>
      <c r="J10" s="13" t="s">
        <v>61</v>
      </c>
    </row>
    <row r="11" customFormat="false" ht="15" hidden="false" customHeight="false" outlineLevel="0" collapsed="false">
      <c r="A11" s="12" t="s">
        <v>62</v>
      </c>
      <c r="B11" s="21" t="s">
        <v>22</v>
      </c>
      <c r="C11" s="13" t="s">
        <v>63</v>
      </c>
      <c r="D11" s="12" t="s">
        <v>43</v>
      </c>
      <c r="E11" s="14" t="n">
        <v>46286</v>
      </c>
      <c r="F11" s="14" t="n">
        <v>46288</v>
      </c>
      <c r="G11" s="12" t="n">
        <f aca="false">F11-E11+1</f>
        <v>3</v>
      </c>
      <c r="H11" s="12" t="s">
        <v>57</v>
      </c>
      <c r="I11" s="12" t="s">
        <v>21</v>
      </c>
      <c r="J11" s="13"/>
    </row>
    <row r="12" customFormat="false" ht="15" hidden="false" customHeight="false" outlineLevel="0" collapsed="false">
      <c r="A12" s="12" t="s">
        <v>64</v>
      </c>
      <c r="B12" s="21" t="s">
        <v>22</v>
      </c>
      <c r="C12" s="13" t="s">
        <v>65</v>
      </c>
      <c r="D12" s="12" t="s">
        <v>59</v>
      </c>
      <c r="E12" s="14" t="n">
        <v>46289</v>
      </c>
      <c r="F12" s="14" t="n">
        <v>46290</v>
      </c>
      <c r="G12" s="12" t="n">
        <f aca="false">F12-E12+1</f>
        <v>2</v>
      </c>
      <c r="H12" s="12" t="s">
        <v>62</v>
      </c>
      <c r="I12" s="12" t="s">
        <v>21</v>
      </c>
      <c r="J12" s="13"/>
    </row>
    <row r="13" customFormat="false" ht="15" hidden="false" customHeight="false" outlineLevel="0" collapsed="false">
      <c r="A13" s="12" t="s">
        <v>66</v>
      </c>
      <c r="B13" s="21" t="s">
        <v>22</v>
      </c>
      <c r="C13" s="13" t="s">
        <v>67</v>
      </c>
      <c r="D13" s="12" t="s">
        <v>53</v>
      </c>
      <c r="E13" s="14" t="n">
        <v>46289</v>
      </c>
      <c r="F13" s="14" t="n">
        <v>46290</v>
      </c>
      <c r="G13" s="12" t="n">
        <f aca="false">F13-E13+1</f>
        <v>2</v>
      </c>
      <c r="H13" s="12" t="s">
        <v>62</v>
      </c>
      <c r="I13" s="12" t="s">
        <v>21</v>
      </c>
      <c r="J13" s="13"/>
    </row>
    <row r="14" customFormat="false" ht="15" hidden="false" customHeight="false" outlineLevel="0" collapsed="false">
      <c r="A14" s="12" t="s">
        <v>68</v>
      </c>
      <c r="B14" s="21" t="s">
        <v>22</v>
      </c>
      <c r="C14" s="13" t="s">
        <v>69</v>
      </c>
      <c r="D14" s="12" t="s">
        <v>43</v>
      </c>
      <c r="E14" s="14" t="n">
        <v>46293</v>
      </c>
      <c r="F14" s="14" t="n">
        <v>46295</v>
      </c>
      <c r="G14" s="12" t="n">
        <f aca="false">F14-E14+1</f>
        <v>3</v>
      </c>
      <c r="H14" s="12" t="s">
        <v>70</v>
      </c>
      <c r="I14" s="12" t="s">
        <v>21</v>
      </c>
      <c r="J14" s="13"/>
    </row>
    <row r="15" customFormat="false" ht="15" hidden="false" customHeight="false" outlineLevel="0" collapsed="false">
      <c r="A15" s="12" t="s">
        <v>71</v>
      </c>
      <c r="B15" s="21" t="s">
        <v>22</v>
      </c>
      <c r="C15" s="13" t="s">
        <v>72</v>
      </c>
      <c r="D15" s="12" t="s">
        <v>59</v>
      </c>
      <c r="E15" s="14" t="n">
        <v>46296</v>
      </c>
      <c r="F15" s="14" t="n">
        <v>46297</v>
      </c>
      <c r="G15" s="12" t="n">
        <f aca="false">F15-E15+1</f>
        <v>2</v>
      </c>
      <c r="H15" s="12" t="s">
        <v>68</v>
      </c>
      <c r="I15" s="12" t="s">
        <v>21</v>
      </c>
      <c r="J15" s="13" t="s">
        <v>73</v>
      </c>
    </row>
    <row r="16" customFormat="false" ht="15" hidden="false" customHeight="false" outlineLevel="0" collapsed="false">
      <c r="A16" s="12" t="s">
        <v>74</v>
      </c>
      <c r="B16" s="20" t="s">
        <v>19</v>
      </c>
      <c r="C16" s="13" t="s">
        <v>75</v>
      </c>
      <c r="D16" s="12" t="s">
        <v>43</v>
      </c>
      <c r="E16" s="14" t="n">
        <v>46293</v>
      </c>
      <c r="F16" s="14" t="n">
        <v>46302</v>
      </c>
      <c r="G16" s="12" t="n">
        <f aca="false">F16-E16+1</f>
        <v>10</v>
      </c>
      <c r="H16" s="12" t="s">
        <v>54</v>
      </c>
      <c r="I16" s="12" t="s">
        <v>21</v>
      </c>
      <c r="J16" s="13"/>
    </row>
    <row r="17" customFormat="false" ht="15" hidden="false" customHeight="false" outlineLevel="0" collapsed="false">
      <c r="A17" s="12" t="s">
        <v>76</v>
      </c>
      <c r="B17" s="20" t="s">
        <v>19</v>
      </c>
      <c r="C17" s="13" t="s">
        <v>77</v>
      </c>
      <c r="D17" s="12" t="s">
        <v>53</v>
      </c>
      <c r="E17" s="14" t="n">
        <v>46300</v>
      </c>
      <c r="F17" s="14" t="n">
        <v>46303</v>
      </c>
      <c r="G17" s="12" t="n">
        <f aca="false">F17-E17+1</f>
        <v>4</v>
      </c>
      <c r="H17" s="12" t="s">
        <v>74</v>
      </c>
      <c r="I17" s="12" t="s">
        <v>21</v>
      </c>
      <c r="J17" s="13"/>
    </row>
    <row r="18" customFormat="false" ht="15" hidden="false" customHeight="false" outlineLevel="0" collapsed="false">
      <c r="A18" s="12" t="s">
        <v>78</v>
      </c>
      <c r="B18" s="20" t="s">
        <v>19</v>
      </c>
      <c r="C18" s="13" t="s">
        <v>79</v>
      </c>
      <c r="D18" s="12" t="s">
        <v>43</v>
      </c>
      <c r="E18" s="14" t="n">
        <v>46303</v>
      </c>
      <c r="F18" s="14" t="n">
        <v>46304</v>
      </c>
      <c r="G18" s="12" t="n">
        <f aca="false">F18-E18+1</f>
        <v>2</v>
      </c>
      <c r="H18" s="12" t="s">
        <v>76</v>
      </c>
      <c r="I18" s="12" t="s">
        <v>21</v>
      </c>
      <c r="J18" s="13"/>
    </row>
    <row r="19" customFormat="false" ht="15" hidden="false" customHeight="false" outlineLevel="0" collapsed="false">
      <c r="A19" s="12" t="s">
        <v>80</v>
      </c>
      <c r="B19" s="21" t="s">
        <v>22</v>
      </c>
      <c r="C19" s="13" t="s">
        <v>81</v>
      </c>
      <c r="D19" s="12" t="s">
        <v>59</v>
      </c>
      <c r="E19" s="14" t="n">
        <v>46300</v>
      </c>
      <c r="F19" s="14" t="n">
        <v>46308</v>
      </c>
      <c r="G19" s="12" t="n">
        <f aca="false">F19-E19+1</f>
        <v>9</v>
      </c>
      <c r="H19" s="12" t="s">
        <v>71</v>
      </c>
      <c r="I19" s="12" t="s">
        <v>21</v>
      </c>
      <c r="J19" s="13"/>
    </row>
    <row r="20" customFormat="false" ht="15" hidden="false" customHeight="false" outlineLevel="0" collapsed="false">
      <c r="A20" s="12" t="s">
        <v>82</v>
      </c>
      <c r="B20" s="21" t="s">
        <v>22</v>
      </c>
      <c r="C20" s="13" t="s">
        <v>83</v>
      </c>
      <c r="D20" s="12" t="s">
        <v>53</v>
      </c>
      <c r="E20" s="14" t="n">
        <v>46307</v>
      </c>
      <c r="F20" s="14" t="n">
        <v>46311</v>
      </c>
      <c r="G20" s="12" t="n">
        <f aca="false">F20-E20+1</f>
        <v>5</v>
      </c>
      <c r="H20" s="12" t="s">
        <v>80</v>
      </c>
      <c r="I20" s="12" t="s">
        <v>21</v>
      </c>
      <c r="J20" s="13"/>
    </row>
    <row r="21" customFormat="false" ht="15" hidden="false" customHeight="false" outlineLevel="0" collapsed="false">
      <c r="A21" s="12" t="s">
        <v>84</v>
      </c>
      <c r="B21" s="22" t="s">
        <v>27</v>
      </c>
      <c r="C21" s="13" t="s">
        <v>85</v>
      </c>
      <c r="D21" s="12" t="s">
        <v>86</v>
      </c>
      <c r="E21" s="14" t="n">
        <v>46283</v>
      </c>
      <c r="F21" s="14" t="n">
        <v>46283</v>
      </c>
      <c r="G21" s="12" t="n">
        <f aca="false">F21-E21+1</f>
        <v>1</v>
      </c>
      <c r="H21" s="12" t="s">
        <v>44</v>
      </c>
      <c r="I21" s="12" t="s">
        <v>24</v>
      </c>
      <c r="J21" s="13" t="s">
        <v>87</v>
      </c>
    </row>
    <row r="22" customFormat="false" ht="15" hidden="false" customHeight="false" outlineLevel="0" collapsed="false">
      <c r="A22" s="12" t="s">
        <v>88</v>
      </c>
      <c r="B22" s="22" t="s">
        <v>27</v>
      </c>
      <c r="C22" s="13" t="s">
        <v>89</v>
      </c>
      <c r="D22" s="12" t="s">
        <v>90</v>
      </c>
      <c r="E22" s="14" t="n">
        <v>46283</v>
      </c>
      <c r="F22" s="14" t="n">
        <v>46284</v>
      </c>
      <c r="G22" s="12" t="n">
        <f aca="false">F22-E22+1</f>
        <v>2</v>
      </c>
      <c r="H22" s="12" t="s">
        <v>84</v>
      </c>
      <c r="I22" s="12" t="s">
        <v>21</v>
      </c>
      <c r="J22" s="13" t="s">
        <v>91</v>
      </c>
    </row>
    <row r="23" customFormat="false" ht="15" hidden="false" customHeight="false" outlineLevel="0" collapsed="false">
      <c r="A23" s="12" t="s">
        <v>92</v>
      </c>
      <c r="B23" s="22" t="s">
        <v>27</v>
      </c>
      <c r="C23" s="13" t="s">
        <v>93</v>
      </c>
      <c r="D23" s="12" t="s">
        <v>43</v>
      </c>
      <c r="E23" s="14" t="n">
        <v>46286</v>
      </c>
      <c r="F23" s="14" t="n">
        <v>46290</v>
      </c>
      <c r="G23" s="12" t="n">
        <f aca="false">F23-E23+1</f>
        <v>5</v>
      </c>
      <c r="H23" s="12" t="s">
        <v>88</v>
      </c>
      <c r="I23" s="12" t="s">
        <v>21</v>
      </c>
      <c r="J23" s="13"/>
    </row>
    <row r="24" customFormat="false" ht="15" hidden="false" customHeight="false" outlineLevel="0" collapsed="false">
      <c r="A24" s="12" t="s">
        <v>94</v>
      </c>
      <c r="B24" s="22" t="s">
        <v>27</v>
      </c>
      <c r="C24" s="13" t="s">
        <v>95</v>
      </c>
      <c r="D24" s="12" t="s">
        <v>86</v>
      </c>
      <c r="E24" s="14" t="n">
        <v>46286</v>
      </c>
      <c r="F24" s="14" t="n">
        <v>46304</v>
      </c>
      <c r="G24" s="12" t="n">
        <f aca="false">F24-E24+1</f>
        <v>19</v>
      </c>
      <c r="H24" s="12" t="s">
        <v>88</v>
      </c>
      <c r="I24" s="12" t="s">
        <v>21</v>
      </c>
      <c r="J24" s="13"/>
    </row>
    <row r="25" customFormat="false" ht="15" hidden="false" customHeight="false" outlineLevel="0" collapsed="false">
      <c r="A25" s="12" t="s">
        <v>96</v>
      </c>
      <c r="B25" s="22" t="s">
        <v>27</v>
      </c>
      <c r="C25" s="13" t="s">
        <v>97</v>
      </c>
      <c r="D25" s="12" t="s">
        <v>90</v>
      </c>
      <c r="E25" s="14" t="n">
        <v>46307</v>
      </c>
      <c r="F25" s="14" t="n">
        <v>46311</v>
      </c>
      <c r="G25" s="12" t="n">
        <f aca="false">F25-E25+1</f>
        <v>5</v>
      </c>
      <c r="H25" s="12" t="s">
        <v>94</v>
      </c>
      <c r="I25" s="12" t="s">
        <v>21</v>
      </c>
      <c r="J25" s="13"/>
    </row>
    <row r="26" customFormat="false" ht="15" hidden="false" customHeight="false" outlineLevel="0" collapsed="false">
      <c r="A26" s="12" t="s">
        <v>98</v>
      </c>
      <c r="B26" s="22" t="s">
        <v>27</v>
      </c>
      <c r="C26" s="13" t="s">
        <v>99</v>
      </c>
      <c r="D26" s="12" t="s">
        <v>43</v>
      </c>
      <c r="E26" s="14" t="n">
        <v>46307</v>
      </c>
      <c r="F26" s="14" t="n">
        <v>46318</v>
      </c>
      <c r="G26" s="12" t="n">
        <f aca="false">F26-E26+1</f>
        <v>12</v>
      </c>
      <c r="H26" s="12" t="s">
        <v>92</v>
      </c>
      <c r="I26" s="12" t="s">
        <v>21</v>
      </c>
      <c r="J26" s="13"/>
    </row>
    <row r="27" customFormat="false" ht="15" hidden="false" customHeight="false" outlineLevel="0" collapsed="false">
      <c r="A27" s="12" t="s">
        <v>100</v>
      </c>
      <c r="B27" s="23" t="s">
        <v>30</v>
      </c>
      <c r="C27" s="13" t="s">
        <v>101</v>
      </c>
      <c r="D27" s="12" t="s">
        <v>53</v>
      </c>
      <c r="E27" s="14" t="n">
        <v>46314</v>
      </c>
      <c r="F27" s="14" t="n">
        <v>46315</v>
      </c>
      <c r="G27" s="12" t="n">
        <f aca="false">F27-E27+1</f>
        <v>2</v>
      </c>
      <c r="H27" s="12" t="s">
        <v>102</v>
      </c>
      <c r="I27" s="12" t="s">
        <v>21</v>
      </c>
      <c r="J27" s="13"/>
    </row>
    <row r="28" customFormat="false" ht="15" hidden="false" customHeight="false" outlineLevel="0" collapsed="false">
      <c r="A28" s="12" t="s">
        <v>103</v>
      </c>
      <c r="B28" s="23" t="s">
        <v>30</v>
      </c>
      <c r="C28" s="13" t="s">
        <v>104</v>
      </c>
      <c r="D28" s="12" t="s">
        <v>53</v>
      </c>
      <c r="E28" s="14" t="n">
        <v>46314</v>
      </c>
      <c r="F28" s="14" t="n">
        <v>46322</v>
      </c>
      <c r="G28" s="12" t="n">
        <f aca="false">F28-E28+1</f>
        <v>9</v>
      </c>
      <c r="H28" s="12" t="s">
        <v>100</v>
      </c>
      <c r="I28" s="12" t="s">
        <v>21</v>
      </c>
      <c r="J28" s="13"/>
    </row>
    <row r="29" customFormat="false" ht="15" hidden="false" customHeight="false" outlineLevel="0" collapsed="false">
      <c r="A29" s="12" t="s">
        <v>105</v>
      </c>
      <c r="B29" s="23" t="s">
        <v>30</v>
      </c>
      <c r="C29" s="13" t="s">
        <v>106</v>
      </c>
      <c r="D29" s="12" t="s">
        <v>53</v>
      </c>
      <c r="E29" s="14" t="n">
        <v>46321</v>
      </c>
      <c r="F29" s="14" t="n">
        <v>46324</v>
      </c>
      <c r="G29" s="12" t="n">
        <f aca="false">F29-E29+1</f>
        <v>4</v>
      </c>
      <c r="H29" s="12" t="s">
        <v>103</v>
      </c>
      <c r="I29" s="12" t="s">
        <v>21</v>
      </c>
      <c r="J29" s="13"/>
    </row>
    <row r="30" customFormat="false" ht="15" hidden="false" customHeight="false" outlineLevel="0" collapsed="false">
      <c r="A30" s="12" t="s">
        <v>107</v>
      </c>
      <c r="B30" s="23" t="s">
        <v>30</v>
      </c>
      <c r="C30" s="13" t="s">
        <v>108</v>
      </c>
      <c r="D30" s="12" t="s">
        <v>90</v>
      </c>
      <c r="E30" s="14" t="n">
        <v>46321</v>
      </c>
      <c r="F30" s="14" t="n">
        <v>46325</v>
      </c>
      <c r="G30" s="12" t="n">
        <f aca="false">F30-E30+1</f>
        <v>5</v>
      </c>
      <c r="H30" s="12" t="s">
        <v>96</v>
      </c>
      <c r="I30" s="12" t="s">
        <v>21</v>
      </c>
      <c r="J30" s="13"/>
    </row>
    <row r="31" customFormat="false" ht="15" hidden="false" customHeight="false" outlineLevel="0" collapsed="false">
      <c r="A31" s="12" t="s">
        <v>109</v>
      </c>
      <c r="B31" s="23" t="s">
        <v>30</v>
      </c>
      <c r="C31" s="13" t="s">
        <v>110</v>
      </c>
      <c r="D31" s="12" t="s">
        <v>111</v>
      </c>
      <c r="E31" s="14" t="n">
        <v>46325</v>
      </c>
      <c r="F31" s="14" t="n">
        <v>46325</v>
      </c>
      <c r="G31" s="12" t="n">
        <f aca="false">F31-E31+1</f>
        <v>1</v>
      </c>
      <c r="H31" s="12" t="s">
        <v>112</v>
      </c>
      <c r="I31" s="12" t="s">
        <v>21</v>
      </c>
      <c r="J31" s="13" t="s">
        <v>113</v>
      </c>
    </row>
    <row r="32" customFormat="false" ht="15" hidden="false" customHeight="false" outlineLevel="0" collapsed="false">
      <c r="A32" s="12" t="s">
        <v>114</v>
      </c>
      <c r="B32" s="24" t="s">
        <v>16</v>
      </c>
      <c r="C32" s="13" t="s">
        <v>115</v>
      </c>
      <c r="D32" s="12" t="s">
        <v>90</v>
      </c>
      <c r="E32" s="14" t="n">
        <v>46328</v>
      </c>
      <c r="F32" s="14" t="n">
        <v>46328</v>
      </c>
      <c r="G32" s="12" t="n">
        <f aca="false">F32-E32+1</f>
        <v>1</v>
      </c>
      <c r="H32" s="12" t="s">
        <v>109</v>
      </c>
      <c r="I32" s="12" t="s">
        <v>21</v>
      </c>
      <c r="J32" s="13"/>
    </row>
    <row r="33" customFormat="false" ht="15" hidden="false" customHeight="false" outlineLevel="0" collapsed="false">
      <c r="A33" s="12" t="s">
        <v>116</v>
      </c>
      <c r="B33" s="24" t="s">
        <v>16</v>
      </c>
      <c r="C33" s="13" t="s">
        <v>117</v>
      </c>
      <c r="D33" s="12" t="s">
        <v>118</v>
      </c>
      <c r="E33" s="14" t="n">
        <v>46329</v>
      </c>
      <c r="F33" s="14" t="n">
        <v>46331</v>
      </c>
      <c r="G33" s="12" t="n">
        <f aca="false">F33-E33+1</f>
        <v>3</v>
      </c>
      <c r="H33" s="12" t="s">
        <v>114</v>
      </c>
      <c r="I33" s="12" t="s">
        <v>21</v>
      </c>
      <c r="J33" s="13"/>
    </row>
    <row r="34" customFormat="false" ht="15" hidden="false" customHeight="false" outlineLevel="0" collapsed="false">
      <c r="A34" s="12" t="s">
        <v>119</v>
      </c>
      <c r="B34" s="24" t="s">
        <v>16</v>
      </c>
      <c r="C34" s="13" t="s">
        <v>120</v>
      </c>
      <c r="D34" s="12" t="s">
        <v>86</v>
      </c>
      <c r="E34" s="14" t="n">
        <v>46329</v>
      </c>
      <c r="F34" s="14" t="n">
        <v>46332</v>
      </c>
      <c r="G34" s="12" t="n">
        <f aca="false">F34-E34+1</f>
        <v>4</v>
      </c>
      <c r="H34" s="12" t="s">
        <v>114</v>
      </c>
      <c r="I34" s="12" t="s">
        <v>21</v>
      </c>
      <c r="J34" s="13"/>
    </row>
    <row r="35" customFormat="false" ht="15" hidden="false" customHeight="false" outlineLevel="0" collapsed="false">
      <c r="A35" s="12" t="s">
        <v>121</v>
      </c>
      <c r="B35" s="24" t="s">
        <v>16</v>
      </c>
      <c r="C35" s="13" t="s">
        <v>122</v>
      </c>
      <c r="D35" s="12" t="s">
        <v>53</v>
      </c>
      <c r="E35" s="14" t="n">
        <v>46335</v>
      </c>
      <c r="F35" s="14" t="n">
        <v>46337</v>
      </c>
      <c r="G35" s="12" t="n">
        <f aca="false">F35-E35+1</f>
        <v>3</v>
      </c>
      <c r="H35" s="12" t="s">
        <v>123</v>
      </c>
      <c r="I35" s="12" t="s">
        <v>21</v>
      </c>
      <c r="J35" s="13"/>
    </row>
    <row r="36" customFormat="false" ht="15" hidden="false" customHeight="false" outlineLevel="0" collapsed="false">
      <c r="A36" s="12" t="s">
        <v>124</v>
      </c>
      <c r="B36" s="24" t="s">
        <v>16</v>
      </c>
      <c r="C36" s="13" t="s">
        <v>125</v>
      </c>
      <c r="D36" s="12" t="s">
        <v>90</v>
      </c>
      <c r="E36" s="14" t="n">
        <v>46338</v>
      </c>
      <c r="F36" s="14" t="n">
        <v>46339</v>
      </c>
      <c r="G36" s="12" t="n">
        <f aca="false">F36-E36+1</f>
        <v>2</v>
      </c>
      <c r="H36" s="12" t="s">
        <v>121</v>
      </c>
      <c r="I36" s="12" t="s">
        <v>21</v>
      </c>
      <c r="J36" s="13"/>
    </row>
    <row r="37" customFormat="false" ht="15" hidden="false" customHeight="false" outlineLevel="0" collapsed="false">
      <c r="A37" s="12" t="s">
        <v>126</v>
      </c>
      <c r="B37" s="24" t="s">
        <v>16</v>
      </c>
      <c r="C37" s="13" t="s">
        <v>127</v>
      </c>
      <c r="D37" s="12" t="s">
        <v>90</v>
      </c>
      <c r="E37" s="14" t="n">
        <v>46339</v>
      </c>
      <c r="F37" s="14" t="n">
        <v>46339</v>
      </c>
      <c r="G37" s="12" t="n">
        <f aca="false">F37-E37+1</f>
        <v>1</v>
      </c>
      <c r="H37" s="12" t="s">
        <v>124</v>
      </c>
      <c r="I37" s="12" t="s">
        <v>34</v>
      </c>
      <c r="J37" s="13" t="s">
        <v>128</v>
      </c>
    </row>
  </sheetData>
  <mergeCells count="1">
    <mergeCell ref="A1:J1"/>
  </mergeCells>
  <dataValidations count="1">
    <dataValidation allowBlank="true" errorStyle="stop" operator="between" showDropDown="false" showErrorMessage="false" showInputMessage="false" sqref="I4:I37" type="list">
      <formula1>"À faire,En cours,Urgent,Bloqué,Fait,Jalon"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7" min="7" style="0" width="20"/>
  </cols>
  <sheetData>
    <row r="1" customFormat="false" ht="16.15" hidden="false" customHeight="false" outlineLevel="0" collapsed="false">
      <c r="A1" s="9" t="s">
        <v>129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 t="s">
        <v>9</v>
      </c>
      <c r="B3" s="10" t="s">
        <v>130</v>
      </c>
      <c r="C3" s="10" t="s">
        <v>10</v>
      </c>
      <c r="D3" s="10" t="s">
        <v>131</v>
      </c>
      <c r="E3" s="10" t="s">
        <v>15</v>
      </c>
      <c r="F3" s="10" t="s">
        <v>132</v>
      </c>
      <c r="G3" s="10" t="s">
        <v>38</v>
      </c>
    </row>
    <row r="4" customFormat="false" ht="23.85" hidden="false" customHeight="false" outlineLevel="0" collapsed="false">
      <c r="A4" s="12" t="s">
        <v>133</v>
      </c>
      <c r="B4" s="13" t="s">
        <v>134</v>
      </c>
      <c r="C4" s="12" t="s">
        <v>22</v>
      </c>
      <c r="D4" s="25" t="s">
        <v>135</v>
      </c>
      <c r="E4" s="12" t="s">
        <v>136</v>
      </c>
      <c r="F4" s="13" t="s">
        <v>137</v>
      </c>
      <c r="G4" s="12" t="s">
        <v>59</v>
      </c>
    </row>
    <row r="5" customFormat="false" ht="23.85" hidden="false" customHeight="false" outlineLevel="0" collapsed="false">
      <c r="A5" s="12" t="s">
        <v>138</v>
      </c>
      <c r="B5" s="13" t="s">
        <v>139</v>
      </c>
      <c r="C5" s="12" t="s">
        <v>27</v>
      </c>
      <c r="D5" s="26" t="s">
        <v>140</v>
      </c>
      <c r="E5" s="12" t="s">
        <v>18</v>
      </c>
      <c r="F5" s="13" t="s">
        <v>141</v>
      </c>
      <c r="G5" s="12" t="s">
        <v>90</v>
      </c>
    </row>
    <row r="6" customFormat="false" ht="23.85" hidden="false" customHeight="false" outlineLevel="0" collapsed="false">
      <c r="A6" s="12" t="s">
        <v>142</v>
      </c>
      <c r="B6" s="13" t="s">
        <v>143</v>
      </c>
      <c r="C6" s="12" t="s">
        <v>19</v>
      </c>
      <c r="D6" s="26" t="s">
        <v>140</v>
      </c>
      <c r="E6" s="12" t="s">
        <v>144</v>
      </c>
      <c r="F6" s="13" t="s">
        <v>145</v>
      </c>
      <c r="G6" s="12" t="s">
        <v>43</v>
      </c>
    </row>
    <row r="7" customFormat="false" ht="23.85" hidden="false" customHeight="false" outlineLevel="0" collapsed="false">
      <c r="A7" s="12" t="s">
        <v>146</v>
      </c>
      <c r="B7" s="13" t="s">
        <v>147</v>
      </c>
      <c r="C7" s="12" t="s">
        <v>22</v>
      </c>
      <c r="D7" s="25" t="s">
        <v>135</v>
      </c>
      <c r="E7" s="12" t="s">
        <v>148</v>
      </c>
      <c r="F7" s="13" t="s">
        <v>149</v>
      </c>
      <c r="G7" s="12" t="s">
        <v>43</v>
      </c>
    </row>
    <row r="8" customFormat="false" ht="23.85" hidden="false" customHeight="false" outlineLevel="0" collapsed="false">
      <c r="A8" s="12" t="s">
        <v>150</v>
      </c>
      <c r="B8" s="13" t="s">
        <v>151</v>
      </c>
      <c r="C8" s="12" t="s">
        <v>16</v>
      </c>
      <c r="D8" s="25" t="s">
        <v>135</v>
      </c>
      <c r="E8" s="12" t="s">
        <v>144</v>
      </c>
      <c r="F8" s="13" t="s">
        <v>152</v>
      </c>
      <c r="G8" s="12" t="s">
        <v>111</v>
      </c>
    </row>
    <row r="9" customFormat="false" ht="23.85" hidden="false" customHeight="false" outlineLevel="0" collapsed="false">
      <c r="A9" s="12" t="s">
        <v>153</v>
      </c>
      <c r="B9" s="13" t="s">
        <v>154</v>
      </c>
      <c r="C9" s="12" t="s">
        <v>155</v>
      </c>
      <c r="D9" s="25" t="s">
        <v>135</v>
      </c>
      <c r="E9" s="12" t="s">
        <v>156</v>
      </c>
      <c r="F9" s="13" t="s">
        <v>157</v>
      </c>
      <c r="G9" s="12" t="s">
        <v>53</v>
      </c>
    </row>
    <row r="10" customFormat="false" ht="23.85" hidden="false" customHeight="false" outlineLevel="0" collapsed="false">
      <c r="A10" s="12" t="s">
        <v>158</v>
      </c>
      <c r="B10" s="13" t="s">
        <v>159</v>
      </c>
      <c r="C10" s="12" t="s">
        <v>22</v>
      </c>
      <c r="D10" s="26" t="s">
        <v>140</v>
      </c>
      <c r="E10" s="12" t="s">
        <v>160</v>
      </c>
      <c r="F10" s="13" t="s">
        <v>161</v>
      </c>
      <c r="G10" s="12" t="s">
        <v>59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44"/>
  </cols>
  <sheetData>
    <row r="1" customFormat="false" ht="16.15" hidden="false" customHeight="false" outlineLevel="0" collapsed="false">
      <c r="A1" s="9" t="s">
        <v>162</v>
      </c>
      <c r="B1" s="9"/>
      <c r="C1" s="9"/>
      <c r="D1" s="9"/>
      <c r="E1" s="9"/>
    </row>
    <row r="3" customFormat="false" ht="15" hidden="false" customHeight="false" outlineLevel="0" collapsed="false">
      <c r="A3" s="10" t="s">
        <v>37</v>
      </c>
      <c r="B3" s="10" t="s">
        <v>38</v>
      </c>
      <c r="C3" s="10" t="s">
        <v>163</v>
      </c>
      <c r="D3" s="10" t="s">
        <v>15</v>
      </c>
      <c r="E3" s="10" t="s">
        <v>164</v>
      </c>
    </row>
    <row r="4" customFormat="false" ht="23.85" hidden="false" customHeight="false" outlineLevel="0" collapsed="false">
      <c r="A4" s="13" t="s">
        <v>165</v>
      </c>
      <c r="B4" s="12" t="s">
        <v>86</v>
      </c>
      <c r="C4" s="14" t="n">
        <v>46283</v>
      </c>
      <c r="D4" s="12" t="s">
        <v>18</v>
      </c>
      <c r="E4" s="13" t="s">
        <v>166</v>
      </c>
    </row>
    <row r="5" customFormat="false" ht="15" hidden="false" customHeight="false" outlineLevel="0" collapsed="false">
      <c r="A5" s="13" t="s">
        <v>167</v>
      </c>
      <c r="B5" s="12" t="s">
        <v>43</v>
      </c>
      <c r="C5" s="14" t="n">
        <v>46290</v>
      </c>
      <c r="D5" s="12" t="s">
        <v>21</v>
      </c>
      <c r="E5" s="13" t="s">
        <v>168</v>
      </c>
    </row>
    <row r="6" customFormat="false" ht="15" hidden="false" customHeight="false" outlineLevel="0" collapsed="false">
      <c r="A6" s="13" t="s">
        <v>169</v>
      </c>
      <c r="B6" s="12" t="s">
        <v>90</v>
      </c>
      <c r="C6" s="14" t="n">
        <v>46311</v>
      </c>
      <c r="D6" s="12" t="s">
        <v>21</v>
      </c>
      <c r="E6" s="13"/>
    </row>
    <row r="7" customFormat="false" ht="15" hidden="false" customHeight="false" outlineLevel="0" collapsed="false">
      <c r="A7" s="13" t="s">
        <v>170</v>
      </c>
      <c r="B7" s="12" t="s">
        <v>43</v>
      </c>
      <c r="C7" s="14" t="n">
        <v>46318</v>
      </c>
      <c r="D7" s="12" t="s">
        <v>21</v>
      </c>
      <c r="E7" s="13"/>
    </row>
    <row r="8" customFormat="false" ht="15" hidden="false" customHeight="false" outlineLevel="0" collapsed="false">
      <c r="A8" s="13" t="s">
        <v>171</v>
      </c>
      <c r="B8" s="12" t="s">
        <v>86</v>
      </c>
      <c r="C8" s="14" t="n">
        <v>46332</v>
      </c>
      <c r="D8" s="12" t="s">
        <v>21</v>
      </c>
      <c r="E8" s="13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2026-09-15T15:01:46Z</dcterms:created>
  <dc:creator>openpyxl</dc:creator>
  <dc:description/>
  <dc:language>en-US</dc:language>
  <cp:lastModifiedBy/>
  <dcterms:modified xsi:type="dcterms:W3CDTF">2026-09-15T15:01:46Z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